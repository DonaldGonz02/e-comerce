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xr:revisionPtr revIDLastSave="262" documentId="8_{2C780449-40DD-41A0-8AED-0A0B01B99EDC}" xr6:coauthVersionLast="47" xr6:coauthVersionMax="47" xr10:uidLastSave="{C2DFECF4-8B6A-4D23-A2D4-500DFAC41ED7}"/>
  <bookViews>
    <workbookView xWindow="-108" yWindow="-108" windowWidth="23256" windowHeight="12456" xr2:uid="{00000000-000D-0000-FFFF-FFFF00000000}"/>
  </bookViews>
  <sheets>
    <sheet name="Planificación" sheetId="11" r:id="rId1"/>
  </sheets>
  <definedNames>
    <definedName name="hoy" localSheetId="0">TODAY()</definedName>
    <definedName name="Inicio_del_proyecto">Planificación!$D$2</definedName>
    <definedName name="Semana_para_mostrar">Planificación!$D$3</definedName>
    <definedName name="task_end" localSheetId="0">Planificación!$E1</definedName>
    <definedName name="task_progress" localSheetId="0">Planificación!$C1</definedName>
    <definedName name="task_start" localSheetId="0">Planificación!$D1</definedName>
    <definedName name="_xlnm.Print_Titles" localSheetId="0">Planificación!$3:$5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5" i="11" l="1"/>
  <c r="C14" i="11"/>
  <c r="C7" i="11"/>
  <c r="G6" i="11"/>
  <c r="D26" i="11" l="1"/>
  <c r="E26" i="11" s="1"/>
  <c r="D27" i="11" s="1"/>
  <c r="E27" i="11" l="1"/>
  <c r="G27" i="11" s="1"/>
  <c r="D28" i="11"/>
  <c r="H4" i="11"/>
  <c r="G38" i="11"/>
  <c r="G37" i="11"/>
  <c r="G36" i="11"/>
  <c r="G35" i="11"/>
  <c r="G34" i="11"/>
  <c r="G33" i="11"/>
  <c r="G31" i="11"/>
  <c r="G26" i="11"/>
  <c r="G25" i="11"/>
  <c r="G14" i="11"/>
  <c r="G7" i="11"/>
  <c r="G8" i="11" l="1"/>
  <c r="E28" i="11"/>
  <c r="D30" i="11"/>
  <c r="D15" i="11"/>
  <c r="D16" i="11" s="1"/>
  <c r="H5" i="11"/>
  <c r="G32" i="11" l="1"/>
  <c r="E30" i="11"/>
  <c r="G30" i="11" s="1"/>
  <c r="D29" i="11"/>
  <c r="G9" i="11"/>
  <c r="E15" i="11"/>
  <c r="G15" i="11" s="1"/>
  <c r="G13" i="11"/>
  <c r="I4" i="11"/>
  <c r="J4" i="11" s="1"/>
  <c r="K4" i="11" s="1"/>
  <c r="L4" i="11" s="1"/>
  <c r="M4" i="11" s="1"/>
  <c r="N4" i="11" s="1"/>
  <c r="O4" i="11" s="1"/>
  <c r="H3" i="11"/>
  <c r="G28" i="11" l="1"/>
  <c r="E29" i="11"/>
  <c r="G29" i="11" s="1"/>
  <c r="G16" i="11"/>
  <c r="G10" i="11"/>
  <c r="G11" i="11"/>
  <c r="O3" i="11"/>
  <c r="P4" i="11"/>
  <c r="Q4" i="11" s="1"/>
  <c r="R4" i="11" s="1"/>
  <c r="S4" i="11" s="1"/>
  <c r="T4" i="11" s="1"/>
  <c r="U4" i="11" s="1"/>
  <c r="V4" i="11" s="1"/>
  <c r="I5" i="11"/>
  <c r="G24" i="11" l="1"/>
  <c r="G18" i="11"/>
  <c r="G17" i="11"/>
  <c r="V3" i="11"/>
  <c r="W4" i="11"/>
  <c r="X4" i="11" s="1"/>
  <c r="Y4" i="11" s="1"/>
  <c r="Z4" i="11" s="1"/>
  <c r="AA4" i="11" s="1"/>
  <c r="AB4" i="11" s="1"/>
  <c r="AC4" i="11" s="1"/>
  <c r="J5" i="11"/>
  <c r="AD4" i="11" l="1"/>
  <c r="AE4" i="11" s="1"/>
  <c r="AF4" i="11" s="1"/>
  <c r="AG4" i="11" s="1"/>
  <c r="AH4" i="11" s="1"/>
  <c r="AI4" i="11" s="1"/>
  <c r="AC3" i="11"/>
  <c r="K5" i="11"/>
  <c r="AJ4" i="11" l="1"/>
  <c r="AK4" i="11" s="1"/>
  <c r="AL4" i="11" s="1"/>
  <c r="AM4" i="11" s="1"/>
  <c r="AN4" i="11" s="1"/>
  <c r="AO4" i="11" s="1"/>
  <c r="AP4" i="11" s="1"/>
  <c r="L5" i="11"/>
  <c r="AQ4" i="11" l="1"/>
  <c r="AR4" i="11" s="1"/>
  <c r="AJ3" i="11"/>
  <c r="M5" i="11"/>
  <c r="AS4" i="11" l="1"/>
  <c r="AR5" i="11"/>
  <c r="AQ3" i="11"/>
  <c r="N5" i="11"/>
  <c r="AT4" i="11" l="1"/>
  <c r="AS5" i="11"/>
  <c r="AU4" i="11" l="1"/>
  <c r="AT5" i="11"/>
  <c r="O5" i="11"/>
  <c r="P5" i="11"/>
  <c r="AV4" i="11" l="1"/>
  <c r="AU5" i="11"/>
  <c r="Q5" i="11"/>
  <c r="AW4" i="11" l="1"/>
  <c r="AX4" i="11" s="1"/>
  <c r="AV5" i="11"/>
  <c r="AY4" i="11" l="1"/>
  <c r="AX3" i="11"/>
  <c r="R5" i="11" s="1"/>
  <c r="AW5" i="11"/>
  <c r="S5" i="11"/>
  <c r="AX5" i="11" l="1"/>
  <c r="AZ4" i="11"/>
  <c r="AY5" i="11"/>
  <c r="T5" i="11"/>
  <c r="AZ5" i="11" l="1"/>
  <c r="BA4" i="11"/>
  <c r="U5" i="11"/>
  <c r="BA5" i="11" l="1"/>
  <c r="BB4" i="11"/>
  <c r="V5" i="11"/>
  <c r="BB5" i="11" l="1"/>
  <c r="BC4" i="11"/>
  <c r="W5" i="11"/>
  <c r="BD4" i="11" l="1"/>
  <c r="BC5" i="11"/>
  <c r="X5" i="11"/>
  <c r="BD5" i="11" l="1"/>
  <c r="BE4" i="11"/>
  <c r="BE5" i="11" l="1"/>
  <c r="BF4" i="11"/>
  <c r="BE3" i="11"/>
  <c r="Y5" i="11" s="1"/>
  <c r="Z5" i="11"/>
  <c r="BF5" i="11" l="1"/>
  <c r="BG4" i="11"/>
  <c r="AA5" i="11"/>
  <c r="BH4" i="11" l="1"/>
  <c r="BG5" i="11"/>
  <c r="AB5" i="11"/>
  <c r="BI4" i="11" l="1"/>
  <c r="BH5" i="11"/>
  <c r="AC5" i="11"/>
  <c r="BJ4" i="11" l="1"/>
  <c r="BI5" i="11"/>
  <c r="AD5" i="11"/>
  <c r="BK4" i="11" l="1"/>
  <c r="BJ5" i="11"/>
  <c r="AE5" i="11"/>
  <c r="BK5" i="11" l="1"/>
  <c r="AF5" i="11"/>
  <c r="AG5" i="11" l="1"/>
  <c r="AH5" i="11" l="1"/>
  <c r="AI5" i="11" l="1"/>
  <c r="AJ5" i="11" l="1"/>
  <c r="AK5" i="11" l="1"/>
  <c r="AL5" i="11" l="1"/>
  <c r="AM5" i="11" l="1"/>
  <c r="AN5" i="11" l="1"/>
  <c r="AO5" i="11" l="1"/>
  <c r="AP5" i="11" l="1"/>
  <c r="AQ5" i="11" l="1"/>
</calcChain>
</file>

<file path=xl/sharedStrings.xml><?xml version="1.0" encoding="utf-8"?>
<sst xmlns="http://schemas.openxmlformats.org/spreadsheetml/2006/main" count="62" uniqueCount="48">
  <si>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</si>
  <si>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</si>
  <si>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</si>
  <si>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</si>
  <si>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</si>
  <si>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</si>
  <si>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</si>
  <si>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</si>
  <si>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</si>
  <si>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</si>
  <si>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</si>
  <si>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</si>
  <si>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</si>
  <si>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Tarea 1</t>
  </si>
  <si>
    <t>Tarea 2</t>
  </si>
  <si>
    <t>Tarea 3</t>
  </si>
  <si>
    <t>Tarea 4</t>
  </si>
  <si>
    <t>Tarea 5</t>
  </si>
  <si>
    <t>Título de la fase 4</t>
  </si>
  <si>
    <t>Inserte nuevas filas ENCIMA de ésta</t>
  </si>
  <si>
    <t>PROGRESO</t>
  </si>
  <si>
    <t>INICIO</t>
  </si>
  <si>
    <t>fecha</t>
  </si>
  <si>
    <t>FIN</t>
  </si>
  <si>
    <t>DÍAS</t>
  </si>
  <si>
    <t>E-Comerce</t>
  </si>
  <si>
    <t>Fase 1 - Análisis del Problema</t>
  </si>
  <si>
    <t>Semana</t>
  </si>
  <si>
    <t>Inicio</t>
  </si>
  <si>
    <t>Tarea 1 - Reunion con Stakerholders para identificar problemática</t>
  </si>
  <si>
    <t>Tarea 4 - Desarrollo de Casos de Uso</t>
  </si>
  <si>
    <t>Tarea 2 - Definición de necesidades para establecer objetivos</t>
  </si>
  <si>
    <t>Tarea 3 - Especificación de Requisitos para su análisis y clasificación</t>
  </si>
  <si>
    <t>Fase 2 - Modelado del Sistema</t>
  </si>
  <si>
    <t>Tarea 1 - Crear diagramas de flujo para visualizar los procesos de negocio</t>
  </si>
  <si>
    <t>Tarea 2 - Desarrollar diagramas de casos de uso para representar las funcionalidades del sistema</t>
  </si>
  <si>
    <t>Tarea 3 - Definición de la Arquitectura del Sistema</t>
  </si>
  <si>
    <t>Tarea 4 - Modelado de Datos (Identificar Entidades)</t>
  </si>
  <si>
    <t>Tarea 5 - Crear un diagrama ERD para representar las entidades, atributos y relaciones.</t>
  </si>
  <si>
    <t>Tarea 6 - Crear y Normalizar la Base de Datos</t>
  </si>
  <si>
    <t>Tarea 7 - Diseñar diagramas de secuencia</t>
  </si>
  <si>
    <t>Tarea 5 - Diseño de la Lógica del Negocio</t>
  </si>
  <si>
    <t>Tarea 6 - Validación de Requisitos con Stakeholder</t>
  </si>
  <si>
    <t>Tarea 8 - Crear un diagrama de integración</t>
  </si>
  <si>
    <t>Tarea 9 - Crear wireframes de los módulos del sitio</t>
  </si>
  <si>
    <t>Fase 3 - Desarrollo de Software</t>
  </si>
  <si>
    <t>Tarea 1 - Preparación del Entorno de Desarrollo</t>
  </si>
  <si>
    <t>Tarea 10 -Presentar los modelos al equipo de negocio.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</si>
</sst>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 numFmtId="172" formatCode="dd/mm/yyyy;@"/>
  </numFmts>
  <fonts count="28" x14ac:knownFonts="1">
    <font>
      <sz val="11"/>
      <color theme="1"/>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6"/>
      <color theme="0"/>
      <name val="Calibri"/>
      <family val="2"/>
      <scheme val="minor"/>
    </font>
    <font>
      <b/>
      <sz val="65"/>
      <color rgb="FF002060"/>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 fillId="0" borderId="0" applyNumberFormat="0" applyFill="0" applyBorder="0" applyAlignment="0" applyProtection="0">
      <alignment vertical="top"/>
      <protection locked="0"/>
    </xf>
    <xf numFmtId="9" fontId="7" fillId="0" borderId="0" applyFont="0" applyFill="0" applyBorder="0" applyAlignment="0" applyProtection="0"/>
    <xf numFmtId="0" fontId="12" fillId="0" borderId="0"/>
    <xf numFmtId="167"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8" fontId="7" fillId="0" borderId="3">
      <alignment horizontal="center" vertical="center"/>
    </xf>
    <xf numFmtId="170"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4" fillId="0" borderId="0" applyNumberFormat="0" applyFill="0" applyBorder="0" applyAlignment="0" applyProtection="0"/>
    <xf numFmtId="166"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15" fillId="0" borderId="0" applyNumberFormat="0" applyFill="0" applyBorder="0" applyAlignment="0" applyProtection="0"/>
    <xf numFmtId="0" fontId="16" fillId="10"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9" fillId="13" borderId="11" applyNumberFormat="0" applyAlignment="0" applyProtection="0"/>
    <xf numFmtId="0" fontId="20" fillId="14" borderId="12" applyNumberFormat="0" applyAlignment="0" applyProtection="0"/>
    <xf numFmtId="0" fontId="21" fillId="14" borderId="11" applyNumberFormat="0" applyAlignment="0" applyProtection="0"/>
    <xf numFmtId="0" fontId="22" fillId="0" borderId="13" applyNumberFormat="0" applyFill="0" applyAlignment="0" applyProtection="0"/>
    <xf numFmtId="0" fontId="23" fillId="15" borderId="14" applyNumberFormat="0" applyAlignment="0" applyProtection="0"/>
    <xf numFmtId="0" fontId="24" fillId="0" borderId="0" applyNumberFormat="0" applyFill="0" applyBorder="0" applyAlignment="0" applyProtection="0"/>
    <xf numFmtId="0" fontId="7" fillId="16" borderId="15" applyNumberFormat="0" applyFont="0" applyAlignment="0" applyProtection="0"/>
    <xf numFmtId="0" fontId="25" fillId="0" borderId="0" applyNumberFormat="0" applyFill="0" applyBorder="0" applyAlignment="0" applyProtection="0"/>
    <xf numFmtId="0" fontId="4" fillId="0" borderId="16" applyNumberFormat="0" applyFill="0" applyAlignment="0" applyProtection="0"/>
    <xf numFmtId="0" fontId="12"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2"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2"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2"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2"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12"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cellStyleXfs>
  <cellXfs count="5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5" fillId="9" borderId="1" xfId="0" applyFont="1" applyFill="1" applyBorder="1" applyAlignment="1">
      <alignment horizontal="center" vertical="center" wrapText="1"/>
    </xf>
    <xf numFmtId="0" fontId="10" fillId="8" borderId="8" xfId="0" applyFont="1" applyFill="1" applyBorder="1" applyAlignment="1">
      <alignment horizontal="center" vertical="center" shrinkToFit="1"/>
    </xf>
    <xf numFmtId="9" fontId="3" fillId="0" borderId="2" xfId="2" applyFont="1" applyBorder="1" applyAlignment="1">
      <alignment horizontal="center" vertical="center"/>
    </xf>
    <xf numFmtId="0" fontId="3" fillId="0" borderId="2" xfId="0" applyFont="1" applyBorder="1" applyAlignment="1">
      <alignment horizontal="center" vertical="center"/>
    </xf>
    <xf numFmtId="9" fontId="3" fillId="3" borderId="2" xfId="2" applyFont="1" applyFill="1" applyBorder="1" applyAlignment="1">
      <alignment horizontal="center" vertical="center"/>
    </xf>
    <xf numFmtId="9" fontId="3" fillId="4" borderId="2" xfId="2" applyFont="1" applyFill="1" applyBorder="1" applyAlignment="1">
      <alignment horizontal="center" vertical="center"/>
    </xf>
    <xf numFmtId="9" fontId="3" fillId="7" borderId="2" xfId="2" applyFont="1" applyFill="1" applyBorder="1" applyAlignment="1">
      <alignment horizontal="center" vertical="center"/>
    </xf>
    <xf numFmtId="9" fontId="3" fillId="6" borderId="2" xfId="2" applyFont="1" applyFill="1" applyBorder="1" applyAlignment="1">
      <alignment horizontal="center" vertical="center"/>
    </xf>
    <xf numFmtId="0" fontId="6" fillId="2" borderId="2" xfId="0" applyFont="1" applyFill="1" applyBorder="1" applyAlignment="1">
      <alignment horizontal="left" vertical="center" indent="1"/>
    </xf>
    <xf numFmtId="9" fontId="3" fillId="2" borderId="2" xfId="2" applyFont="1" applyFill="1" applyBorder="1" applyAlignment="1">
      <alignment horizontal="center" vertical="center"/>
    </xf>
    <xf numFmtId="0" fontId="3"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2" fillId="0" borderId="0" xfId="3"/>
    <xf numFmtId="0" fontId="12" fillId="0" borderId="0" xfId="3" applyAlignment="1">
      <alignment wrapText="1"/>
    </xf>
    <xf numFmtId="0" fontId="12" fillId="0" borderId="0" xfId="0" applyFont="1" applyAlignment="1">
      <alignment horizontal="center"/>
    </xf>
    <xf numFmtId="0" fontId="8" fillId="0" borderId="0" xfId="6"/>
    <xf numFmtId="0" fontId="7" fillId="3" borderId="2" xfId="12" applyFill="1">
      <alignment horizontal="left" vertical="center" indent="2"/>
    </xf>
    <xf numFmtId="0" fontId="7" fillId="4" borderId="2" xfId="12" applyFill="1">
      <alignment horizontal="left" vertical="center" indent="2"/>
    </xf>
    <xf numFmtId="0" fontId="7" fillId="7" borderId="2" xfId="12" applyFill="1">
      <alignment horizontal="left" vertical="center" indent="2"/>
    </xf>
    <xf numFmtId="0" fontId="7" fillId="6" borderId="2" xfId="12" applyFill="1">
      <alignment horizontal="left" vertical="center" indent="2"/>
    </xf>
    <xf numFmtId="0" fontId="7" fillId="0" borderId="2" xfId="12">
      <alignment horizontal="left" vertical="center" indent="2"/>
    </xf>
    <xf numFmtId="0" fontId="0" fillId="0" borderId="10" xfId="0" applyBorder="1"/>
    <xf numFmtId="0" fontId="13" fillId="0" borderId="0" xfId="1" applyFont="1" applyProtection="1">
      <alignment vertical="top"/>
    </xf>
    <xf numFmtId="170" fontId="2" fillId="2" borderId="2" xfId="0" applyNumberFormat="1" applyFont="1" applyFill="1" applyBorder="1" applyAlignment="1">
      <alignment horizontal="left" vertical="center"/>
    </xf>
    <xf numFmtId="170" fontId="3" fillId="2" borderId="2" xfId="0" applyNumberFormat="1" applyFont="1" applyFill="1" applyBorder="1" applyAlignment="1">
      <alignment horizontal="center" vertical="center"/>
    </xf>
    <xf numFmtId="171" fontId="9" fillId="5" borderId="6" xfId="0" applyNumberFormat="1" applyFont="1" applyFill="1" applyBorder="1" applyAlignment="1">
      <alignment horizontal="center" vertical="center"/>
    </xf>
    <xf numFmtId="171" fontId="9" fillId="5" borderId="0" xfId="0" applyNumberFormat="1" applyFont="1" applyFill="1" applyAlignment="1">
      <alignment horizontal="center" vertical="center"/>
    </xf>
    <xf numFmtId="171" fontId="9" fillId="5" borderId="7" xfId="0" applyNumberFormat="1" applyFont="1" applyFill="1" applyBorder="1" applyAlignment="1">
      <alignment horizontal="center" vertical="center"/>
    </xf>
    <xf numFmtId="170" fontId="7" fillId="0" borderId="2" xfId="10">
      <alignment horizontal="center" vertical="center"/>
    </xf>
    <xf numFmtId="169" fontId="0" fillId="5" borderId="4" xfId="0" applyNumberFormat="1" applyFill="1" applyBorder="1" applyAlignment="1">
      <alignment horizontal="left" vertical="center" wrapText="1" indent="1"/>
    </xf>
    <xf numFmtId="169" fontId="0" fillId="5" borderId="1" xfId="0" applyNumberFormat="1" applyFill="1" applyBorder="1" applyAlignment="1">
      <alignment horizontal="left" vertical="center" wrapText="1" indent="1"/>
    </xf>
    <xf numFmtId="169" fontId="0" fillId="5" borderId="5" xfId="0" applyNumberFormat="1" applyFill="1" applyBorder="1" applyAlignment="1">
      <alignment horizontal="left" vertical="center" wrapText="1" indent="1"/>
    </xf>
    <xf numFmtId="14" fontId="7" fillId="3" borderId="2" xfId="10" applyNumberFormat="1" applyFill="1">
      <alignment horizontal="center" vertical="center"/>
    </xf>
    <xf numFmtId="14" fontId="7" fillId="4" borderId="2" xfId="10" applyNumberFormat="1" applyFill="1">
      <alignment horizontal="center" vertical="center"/>
    </xf>
    <xf numFmtId="14" fontId="7" fillId="7" borderId="2" xfId="10" applyNumberFormat="1" applyFill="1">
      <alignment horizontal="center" vertical="center"/>
    </xf>
    <xf numFmtId="14" fontId="7" fillId="6" borderId="2" xfId="10" applyNumberFormat="1" applyFill="1">
      <alignment horizontal="center" vertical="center"/>
    </xf>
    <xf numFmtId="0" fontId="26" fillId="9" borderId="1" xfId="0" applyFont="1" applyFill="1" applyBorder="1" applyAlignment="1">
      <alignment horizontal="center" vertical="center"/>
    </xf>
    <xf numFmtId="0" fontId="26" fillId="9" borderId="1" xfId="0" applyFont="1" applyFill="1" applyBorder="1" applyAlignment="1">
      <alignment horizontal="center" vertical="center" wrapText="1"/>
    </xf>
    <xf numFmtId="0" fontId="4" fillId="0" borderId="0" xfId="8" applyFont="1" applyAlignment="1">
      <alignment horizontal="right" vertical="center"/>
    </xf>
    <xf numFmtId="0" fontId="0" fillId="0" borderId="0" xfId="0" applyBorder="1" applyAlignment="1">
      <alignment horizontal="center" vertical="center"/>
    </xf>
    <xf numFmtId="172" fontId="7" fillId="0" borderId="0" xfId="9" applyNumberFormat="1" applyBorder="1" applyAlignment="1">
      <alignment horizontal="center" vertical="center"/>
    </xf>
    <xf numFmtId="0" fontId="0" fillId="0" borderId="0" xfId="0" applyBorder="1" applyAlignment="1">
      <alignment horizontal="center"/>
    </xf>
    <xf numFmtId="0" fontId="4" fillId="5" borderId="2" xfId="0" applyFont="1" applyFill="1" applyBorder="1" applyAlignment="1">
      <alignment horizontal="left" vertical="center" indent="1"/>
    </xf>
    <xf numFmtId="9" fontId="3" fillId="5" borderId="2" xfId="2" applyFont="1" applyFill="1" applyBorder="1" applyAlignment="1">
      <alignment horizontal="center" vertical="center"/>
    </xf>
    <xf numFmtId="170" fontId="0" fillId="5" borderId="2" xfId="0" applyNumberFormat="1" applyFill="1" applyBorder="1" applyAlignment="1">
      <alignment horizontal="center" vertical="center"/>
    </xf>
    <xf numFmtId="170"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27" fillId="0" borderId="0" xfId="7" applyFont="1" applyAlignment="1">
      <alignment horizontal="center" vertical="center"/>
    </xf>
    <xf numFmtId="0" fontId="7" fillId="4" borderId="2" xfId="12" applyFill="1" applyAlignment="1">
      <alignment horizontal="left" vertical="center" wrapText="1" indent="2"/>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427FC2"/>
      <color rgb="FF215881"/>
      <color rgb="FF42648A"/>
      <color rgb="FF969696"/>
      <color rgb="FFC0C0C0"/>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Escala de grises">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427FC2"/>
    <pageSetUpPr fitToPage="1"/>
  </sheetPr>
  <dimension ref="A1:BK40"/>
  <sheetViews>
    <sheetView showGridLines="0" tabSelected="1" showRuler="0" topLeftCell="A21" zoomScaleNormal="100" zoomScalePageLayoutView="70" workbookViewId="0">
      <selection activeCell="D25" sqref="D25"/>
    </sheetView>
  </sheetViews>
  <sheetFormatPr baseColWidth="10" defaultColWidth="9.109375" defaultRowHeight="30" customHeight="1" x14ac:dyDescent="0.3"/>
  <cols>
    <col min="1" max="1" width="2.6640625" style="18" customWidth="1"/>
    <col min="2" max="2" width="83.33203125" bestFit="1" customWidth="1"/>
    <col min="3" max="3" width="14.88671875" bestFit="1" customWidth="1"/>
    <col min="4" max="4" width="9.5546875" style="2" bestFit="1" customWidth="1"/>
    <col min="5" max="5" width="9.5546875" bestFit="1" customWidth="1"/>
    <col min="6" max="6" width="2.6640625" customWidth="1"/>
    <col min="7" max="7" width="9.44140625" hidden="1" customWidth="1"/>
    <col min="8" max="63" width="3.33203125" customWidth="1"/>
    <col min="68" max="69" width="10.33203125"/>
  </cols>
  <sheetData>
    <row r="1" spans="1:63" ht="12" customHeight="1" x14ac:dyDescent="0.35">
      <c r="B1" s="21"/>
      <c r="H1" s="28"/>
    </row>
    <row r="2" spans="1:63" ht="25.05" customHeight="1" x14ac:dyDescent="0.3">
      <c r="A2" s="18" t="s">
        <v>0</v>
      </c>
      <c r="B2" s="53" t="s">
        <v>25</v>
      </c>
      <c r="C2" s="44" t="s">
        <v>28</v>
      </c>
      <c r="D2" s="46">
        <v>45706</v>
      </c>
      <c r="E2" s="46"/>
    </row>
    <row r="3" spans="1:63" ht="25.05" customHeight="1" x14ac:dyDescent="0.3">
      <c r="A3" s="19" t="s">
        <v>1</v>
      </c>
      <c r="B3" s="53"/>
      <c r="C3" s="44" t="s">
        <v>27</v>
      </c>
      <c r="D3" s="45">
        <v>1</v>
      </c>
      <c r="E3" s="47"/>
      <c r="H3" s="35">
        <f>H4</f>
        <v>45705</v>
      </c>
      <c r="I3" s="36"/>
      <c r="J3" s="36"/>
      <c r="K3" s="36"/>
      <c r="L3" s="36"/>
      <c r="M3" s="36"/>
      <c r="N3" s="37"/>
      <c r="O3" s="35">
        <f>O4</f>
        <v>45712</v>
      </c>
      <c r="P3" s="36"/>
      <c r="Q3" s="36"/>
      <c r="R3" s="36"/>
      <c r="S3" s="36"/>
      <c r="T3" s="36"/>
      <c r="U3" s="37"/>
      <c r="V3" s="35">
        <f>V4</f>
        <v>45719</v>
      </c>
      <c r="W3" s="36"/>
      <c r="X3" s="36"/>
      <c r="Y3" s="36"/>
      <c r="Z3" s="36"/>
      <c r="AA3" s="36"/>
      <c r="AB3" s="37"/>
      <c r="AC3" s="35">
        <f>AC4</f>
        <v>45726</v>
      </c>
      <c r="AD3" s="36"/>
      <c r="AE3" s="36"/>
      <c r="AF3" s="36"/>
      <c r="AG3" s="36"/>
      <c r="AH3" s="36"/>
      <c r="AI3" s="37"/>
      <c r="AJ3" s="35">
        <f>AJ4</f>
        <v>45733</v>
      </c>
      <c r="AK3" s="36"/>
      <c r="AL3" s="36"/>
      <c r="AM3" s="36"/>
      <c r="AN3" s="36"/>
      <c r="AO3" s="36"/>
      <c r="AP3" s="37"/>
      <c r="AQ3" s="35">
        <f>AQ4</f>
        <v>45740</v>
      </c>
      <c r="AR3" s="36"/>
      <c r="AS3" s="36"/>
      <c r="AT3" s="36"/>
      <c r="AU3" s="36"/>
      <c r="AV3" s="36"/>
      <c r="AW3" s="37"/>
      <c r="AX3" s="35">
        <f>AX4</f>
        <v>45747</v>
      </c>
      <c r="AY3" s="36"/>
      <c r="AZ3" s="36"/>
      <c r="BA3" s="36"/>
      <c r="BB3" s="36"/>
      <c r="BC3" s="36"/>
      <c r="BD3" s="37"/>
      <c r="BE3" s="35">
        <f>BE4</f>
        <v>45754</v>
      </c>
      <c r="BF3" s="36"/>
      <c r="BG3" s="36"/>
      <c r="BH3" s="36"/>
      <c r="BI3" s="36"/>
      <c r="BJ3" s="36"/>
      <c r="BK3" s="37"/>
    </row>
    <row r="4" spans="1:63" ht="15" customHeight="1" x14ac:dyDescent="0.3">
      <c r="A4" s="19" t="s">
        <v>2</v>
      </c>
      <c r="B4" s="27"/>
      <c r="C4" s="27"/>
      <c r="D4" s="27"/>
      <c r="E4" s="27"/>
      <c r="F4" s="27"/>
      <c r="H4" s="31">
        <f>Inicio_del_proyecto-WEEKDAY(Inicio_del_proyecto,1)+2+7*(Semana_para_mostrar-1)</f>
        <v>45705</v>
      </c>
      <c r="I4" s="32">
        <f>H4+1</f>
        <v>45706</v>
      </c>
      <c r="J4" s="32">
        <f t="shared" ref="J4:AW4" si="0">I4+1</f>
        <v>45707</v>
      </c>
      <c r="K4" s="32">
        <f t="shared" si="0"/>
        <v>45708</v>
      </c>
      <c r="L4" s="32">
        <f t="shared" si="0"/>
        <v>45709</v>
      </c>
      <c r="M4" s="32">
        <f t="shared" si="0"/>
        <v>45710</v>
      </c>
      <c r="N4" s="33">
        <f t="shared" si="0"/>
        <v>45711</v>
      </c>
      <c r="O4" s="31">
        <f>N4+1</f>
        <v>45712</v>
      </c>
      <c r="P4" s="32">
        <f>O4+1</f>
        <v>45713</v>
      </c>
      <c r="Q4" s="32">
        <f t="shared" si="0"/>
        <v>45714</v>
      </c>
      <c r="R4" s="32">
        <f t="shared" si="0"/>
        <v>45715</v>
      </c>
      <c r="S4" s="32">
        <f t="shared" si="0"/>
        <v>45716</v>
      </c>
      <c r="T4" s="32">
        <f t="shared" si="0"/>
        <v>45717</v>
      </c>
      <c r="U4" s="33">
        <f t="shared" si="0"/>
        <v>45718</v>
      </c>
      <c r="V4" s="31">
        <f>U4+1</f>
        <v>45719</v>
      </c>
      <c r="W4" s="32">
        <f>V4+1</f>
        <v>45720</v>
      </c>
      <c r="X4" s="32">
        <f t="shared" si="0"/>
        <v>45721</v>
      </c>
      <c r="Y4" s="32">
        <f t="shared" si="0"/>
        <v>45722</v>
      </c>
      <c r="Z4" s="32">
        <f t="shared" si="0"/>
        <v>45723</v>
      </c>
      <c r="AA4" s="32">
        <f t="shared" si="0"/>
        <v>45724</v>
      </c>
      <c r="AB4" s="33">
        <f t="shared" si="0"/>
        <v>45725</v>
      </c>
      <c r="AC4" s="31">
        <f>AB4+1</f>
        <v>45726</v>
      </c>
      <c r="AD4" s="32">
        <f>AC4+1</f>
        <v>45727</v>
      </c>
      <c r="AE4" s="32">
        <f t="shared" si="0"/>
        <v>45728</v>
      </c>
      <c r="AF4" s="32">
        <f t="shared" si="0"/>
        <v>45729</v>
      </c>
      <c r="AG4" s="32">
        <f t="shared" si="0"/>
        <v>45730</v>
      </c>
      <c r="AH4" s="32">
        <f t="shared" si="0"/>
        <v>45731</v>
      </c>
      <c r="AI4" s="33">
        <f t="shared" si="0"/>
        <v>45732</v>
      </c>
      <c r="AJ4" s="31">
        <f>AI4+1</f>
        <v>45733</v>
      </c>
      <c r="AK4" s="32">
        <f>AJ4+1</f>
        <v>45734</v>
      </c>
      <c r="AL4" s="32">
        <f t="shared" si="0"/>
        <v>45735</v>
      </c>
      <c r="AM4" s="32">
        <f t="shared" si="0"/>
        <v>45736</v>
      </c>
      <c r="AN4" s="32">
        <f t="shared" si="0"/>
        <v>45737</v>
      </c>
      <c r="AO4" s="32">
        <f t="shared" si="0"/>
        <v>45738</v>
      </c>
      <c r="AP4" s="33">
        <f t="shared" si="0"/>
        <v>45739</v>
      </c>
      <c r="AQ4" s="31">
        <f>AP4+1</f>
        <v>45740</v>
      </c>
      <c r="AR4" s="32">
        <f>AQ4+1</f>
        <v>45741</v>
      </c>
      <c r="AS4" s="32">
        <f t="shared" si="0"/>
        <v>45742</v>
      </c>
      <c r="AT4" s="32">
        <f t="shared" si="0"/>
        <v>45743</v>
      </c>
      <c r="AU4" s="32">
        <f t="shared" si="0"/>
        <v>45744</v>
      </c>
      <c r="AV4" s="32">
        <f t="shared" si="0"/>
        <v>45745</v>
      </c>
      <c r="AW4" s="33">
        <f t="shared" si="0"/>
        <v>45746</v>
      </c>
      <c r="AX4" s="31">
        <f>AW4+1</f>
        <v>45747</v>
      </c>
      <c r="AY4" s="32">
        <f>AX4+1</f>
        <v>45748</v>
      </c>
      <c r="AZ4" s="32">
        <f t="shared" ref="AZ4:BD4" si="1">AY4+1</f>
        <v>45749</v>
      </c>
      <c r="BA4" s="32">
        <f t="shared" si="1"/>
        <v>45750</v>
      </c>
      <c r="BB4" s="32">
        <f t="shared" si="1"/>
        <v>45751</v>
      </c>
      <c r="BC4" s="32">
        <f t="shared" si="1"/>
        <v>45752</v>
      </c>
      <c r="BD4" s="33">
        <f t="shared" si="1"/>
        <v>45753</v>
      </c>
      <c r="BE4" s="31">
        <f>BD4+1</f>
        <v>45754</v>
      </c>
      <c r="BF4" s="32">
        <f>BE4+1</f>
        <v>45755</v>
      </c>
      <c r="BG4" s="32">
        <f t="shared" ref="BG4:BK4" si="2">BF4+1</f>
        <v>45756</v>
      </c>
      <c r="BH4" s="32">
        <f t="shared" si="2"/>
        <v>45757</v>
      </c>
      <c r="BI4" s="32">
        <f t="shared" si="2"/>
        <v>45758</v>
      </c>
      <c r="BJ4" s="32">
        <f t="shared" si="2"/>
        <v>45759</v>
      </c>
      <c r="BK4" s="33">
        <f t="shared" si="2"/>
        <v>45760</v>
      </c>
    </row>
    <row r="5" spans="1:63" ht="30" customHeight="1" thickBot="1" x14ac:dyDescent="0.35">
      <c r="A5" s="19" t="s">
        <v>3</v>
      </c>
      <c r="B5" s="42" t="s">
        <v>12</v>
      </c>
      <c r="C5" s="43" t="s">
        <v>20</v>
      </c>
      <c r="D5" s="43" t="s">
        <v>21</v>
      </c>
      <c r="E5" s="43" t="s">
        <v>23</v>
      </c>
      <c r="F5" s="4"/>
      <c r="G5" s="4" t="s">
        <v>24</v>
      </c>
      <c r="H5" s="5" t="str">
        <f t="shared" ref="H5" si="3">LEFT(TEXT(H4,"ddd"),1)</f>
        <v>l</v>
      </c>
      <c r="I5" s="5" t="str">
        <f t="shared" ref="I5:AQ5" si="4">LEFT(TEXT(I4,"ddd"),1)</f>
        <v>m</v>
      </c>
      <c r="J5" s="5" t="str">
        <f t="shared" si="4"/>
        <v>m</v>
      </c>
      <c r="K5" s="5" t="str">
        <f t="shared" si="4"/>
        <v>j</v>
      </c>
      <c r="L5" s="5" t="str">
        <f t="shared" si="4"/>
        <v>v</v>
      </c>
      <c r="M5" s="5" t="str">
        <f t="shared" si="4"/>
        <v>s</v>
      </c>
      <c r="N5" s="5" t="str">
        <f t="shared" si="4"/>
        <v>d</v>
      </c>
      <c r="O5" s="5" t="str">
        <f t="shared" si="4"/>
        <v>l</v>
      </c>
      <c r="P5" s="5" t="str">
        <f t="shared" si="4"/>
        <v>m</v>
      </c>
      <c r="Q5" s="5" t="str">
        <f t="shared" si="4"/>
        <v>m</v>
      </c>
      <c r="R5" s="5" t="str">
        <f t="shared" si="4"/>
        <v>j</v>
      </c>
      <c r="S5" s="5" t="str">
        <f t="shared" si="4"/>
        <v>v</v>
      </c>
      <c r="T5" s="5" t="str">
        <f t="shared" si="4"/>
        <v>s</v>
      </c>
      <c r="U5" s="5" t="str">
        <f t="shared" si="4"/>
        <v>d</v>
      </c>
      <c r="V5" s="5" t="str">
        <f t="shared" si="4"/>
        <v>l</v>
      </c>
      <c r="W5" s="5" t="str">
        <f t="shared" si="4"/>
        <v>m</v>
      </c>
      <c r="X5" s="5" t="str">
        <f t="shared" si="4"/>
        <v>m</v>
      </c>
      <c r="Y5" s="5" t="str">
        <f t="shared" si="4"/>
        <v>j</v>
      </c>
      <c r="Z5" s="5" t="str">
        <f t="shared" si="4"/>
        <v>v</v>
      </c>
      <c r="AA5" s="5" t="str">
        <f t="shared" si="4"/>
        <v>s</v>
      </c>
      <c r="AB5" s="5" t="str">
        <f t="shared" si="4"/>
        <v>d</v>
      </c>
      <c r="AC5" s="5" t="str">
        <f t="shared" si="4"/>
        <v>l</v>
      </c>
      <c r="AD5" s="5" t="str">
        <f t="shared" si="4"/>
        <v>m</v>
      </c>
      <c r="AE5" s="5" t="str">
        <f t="shared" si="4"/>
        <v>m</v>
      </c>
      <c r="AF5" s="5" t="str">
        <f t="shared" si="4"/>
        <v>j</v>
      </c>
      <c r="AG5" s="5" t="str">
        <f t="shared" si="4"/>
        <v>v</v>
      </c>
      <c r="AH5" s="5" t="str">
        <f t="shared" si="4"/>
        <v>s</v>
      </c>
      <c r="AI5" s="5" t="str">
        <f t="shared" si="4"/>
        <v>d</v>
      </c>
      <c r="AJ5" s="5" t="str">
        <f t="shared" si="4"/>
        <v>l</v>
      </c>
      <c r="AK5" s="5" t="str">
        <f t="shared" si="4"/>
        <v>m</v>
      </c>
      <c r="AL5" s="5" t="str">
        <f t="shared" si="4"/>
        <v>m</v>
      </c>
      <c r="AM5" s="5" t="str">
        <f t="shared" si="4"/>
        <v>j</v>
      </c>
      <c r="AN5" s="5" t="str">
        <f t="shared" si="4"/>
        <v>v</v>
      </c>
      <c r="AO5" s="5" t="str">
        <f t="shared" si="4"/>
        <v>s</v>
      </c>
      <c r="AP5" s="5" t="str">
        <f t="shared" si="4"/>
        <v>d</v>
      </c>
      <c r="AQ5" s="5" t="str">
        <f t="shared" si="4"/>
        <v>l</v>
      </c>
      <c r="AR5" s="5" t="str">
        <f t="shared" ref="AR5:BK5" si="5">LEFT(TEXT(AR4,"ddd"),1)</f>
        <v>m</v>
      </c>
      <c r="AS5" s="5" t="str">
        <f t="shared" si="5"/>
        <v>m</v>
      </c>
      <c r="AT5" s="5" t="str">
        <f t="shared" si="5"/>
        <v>j</v>
      </c>
      <c r="AU5" s="5" t="str">
        <f t="shared" si="5"/>
        <v>v</v>
      </c>
      <c r="AV5" s="5" t="str">
        <f t="shared" si="5"/>
        <v>s</v>
      </c>
      <c r="AW5" s="5" t="str">
        <f t="shared" si="5"/>
        <v>d</v>
      </c>
      <c r="AX5" s="5" t="str">
        <f t="shared" si="5"/>
        <v>l</v>
      </c>
      <c r="AY5" s="5" t="str">
        <f t="shared" si="5"/>
        <v>m</v>
      </c>
      <c r="AZ5" s="5" t="str">
        <f t="shared" si="5"/>
        <v>m</v>
      </c>
      <c r="BA5" s="5" t="str">
        <f t="shared" si="5"/>
        <v>j</v>
      </c>
      <c r="BB5" s="5" t="str">
        <f t="shared" si="5"/>
        <v>v</v>
      </c>
      <c r="BC5" s="5" t="str">
        <f t="shared" si="5"/>
        <v>s</v>
      </c>
      <c r="BD5" s="5" t="str">
        <f t="shared" si="5"/>
        <v>d</v>
      </c>
      <c r="BE5" s="5" t="str">
        <f t="shared" si="5"/>
        <v>l</v>
      </c>
      <c r="BF5" s="5" t="str">
        <f t="shared" si="5"/>
        <v>m</v>
      </c>
      <c r="BG5" s="5" t="str">
        <f t="shared" si="5"/>
        <v>m</v>
      </c>
      <c r="BH5" s="5" t="str">
        <f t="shared" si="5"/>
        <v>j</v>
      </c>
      <c r="BI5" s="5" t="str">
        <f t="shared" si="5"/>
        <v>v</v>
      </c>
      <c r="BJ5" s="5" t="str">
        <f t="shared" si="5"/>
        <v>s</v>
      </c>
      <c r="BK5" s="5" t="str">
        <f t="shared" si="5"/>
        <v>d</v>
      </c>
    </row>
    <row r="6" spans="1:63" ht="30" hidden="1" customHeight="1" thickBot="1" x14ac:dyDescent="0.35">
      <c r="A6" s="18" t="s">
        <v>4</v>
      </c>
      <c r="D6"/>
      <c r="G6" t="str">
        <f>IF(OR(ISBLANK(task_start),ISBLANK(task_end)),"",task_end-task_start+1)</f>
        <v/>
      </c>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row>
    <row r="7" spans="1:63" s="1" customFormat="1" ht="19.95" customHeight="1" thickBot="1" x14ac:dyDescent="0.35">
      <c r="A7" s="19" t="s">
        <v>5</v>
      </c>
      <c r="B7" s="48" t="s">
        <v>26</v>
      </c>
      <c r="C7" s="49">
        <f>AVERAGE(C8:C13)</f>
        <v>0.67499999999999993</v>
      </c>
      <c r="D7" s="50">
        <v>45706</v>
      </c>
      <c r="E7" s="51">
        <v>45716</v>
      </c>
      <c r="F7" s="52"/>
      <c r="G7" s="7">
        <f t="shared" ref="G7:G38" si="6">IF(OR(ISBLANK(task_start),ISBLANK(task_end)),"",task_end-task_start+1)</f>
        <v>11</v>
      </c>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row>
    <row r="8" spans="1:63" s="1" customFormat="1" ht="25.05" customHeight="1" thickBot="1" x14ac:dyDescent="0.35">
      <c r="A8" s="19" t="s">
        <v>6</v>
      </c>
      <c r="B8" s="22" t="s">
        <v>29</v>
      </c>
      <c r="C8" s="8">
        <v>1</v>
      </c>
      <c r="D8" s="38">
        <v>45706</v>
      </c>
      <c r="E8" s="38">
        <v>45707</v>
      </c>
      <c r="F8" s="7"/>
      <c r="G8" s="7">
        <f t="shared" si="6"/>
        <v>2</v>
      </c>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row>
    <row r="9" spans="1:63" s="1" customFormat="1" ht="25.05" customHeight="1" thickBot="1" x14ac:dyDescent="0.35">
      <c r="A9" s="19" t="s">
        <v>7</v>
      </c>
      <c r="B9" s="22" t="s">
        <v>31</v>
      </c>
      <c r="C9" s="8">
        <v>0.8</v>
      </c>
      <c r="D9" s="38">
        <v>45707</v>
      </c>
      <c r="E9" s="38">
        <v>45708</v>
      </c>
      <c r="F9" s="7"/>
      <c r="G9" s="7">
        <f t="shared" si="6"/>
        <v>2</v>
      </c>
      <c r="H9" s="15"/>
      <c r="I9" s="15"/>
      <c r="J9" s="15"/>
      <c r="K9" s="15"/>
      <c r="L9" s="15"/>
      <c r="M9" s="15"/>
      <c r="N9" s="15"/>
      <c r="O9" s="15"/>
      <c r="P9" s="15"/>
      <c r="Q9" s="15"/>
      <c r="R9" s="15"/>
      <c r="S9" s="15"/>
      <c r="T9" s="16"/>
      <c r="U9" s="16"/>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row>
    <row r="10" spans="1:63" s="1" customFormat="1" ht="25.05" customHeight="1" thickBot="1" x14ac:dyDescent="0.35">
      <c r="A10" s="18"/>
      <c r="B10" s="22" t="s">
        <v>32</v>
      </c>
      <c r="C10" s="8">
        <v>0.75</v>
      </c>
      <c r="D10" s="38">
        <v>45709</v>
      </c>
      <c r="E10" s="38">
        <v>45710</v>
      </c>
      <c r="F10" s="7"/>
      <c r="G10" s="7">
        <f t="shared" si="6"/>
        <v>2</v>
      </c>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1:63" s="1" customFormat="1" ht="25.05" customHeight="1" thickBot="1" x14ac:dyDescent="0.35">
      <c r="A11" s="18"/>
      <c r="B11" s="22" t="s">
        <v>30</v>
      </c>
      <c r="C11" s="8">
        <v>0.25</v>
      </c>
      <c r="D11" s="38">
        <v>45711</v>
      </c>
      <c r="E11" s="38">
        <v>45713</v>
      </c>
      <c r="F11" s="7"/>
      <c r="G11" s="7">
        <f t="shared" si="6"/>
        <v>3</v>
      </c>
      <c r="H11" s="15"/>
      <c r="I11" s="15"/>
      <c r="J11" s="15"/>
      <c r="K11" s="15"/>
      <c r="L11" s="15"/>
      <c r="M11" s="15"/>
      <c r="N11" s="15"/>
      <c r="O11" s="15"/>
      <c r="P11" s="15"/>
      <c r="Q11" s="15"/>
      <c r="R11" s="15"/>
      <c r="S11" s="15"/>
      <c r="T11" s="15"/>
      <c r="U11" s="15"/>
      <c r="V11" s="15"/>
      <c r="W11" s="15"/>
      <c r="X11" s="16"/>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row>
    <row r="12" spans="1:63" s="1" customFormat="1" ht="25.05" customHeight="1" thickBot="1" x14ac:dyDescent="0.35">
      <c r="A12" s="18"/>
      <c r="B12" s="22" t="s">
        <v>41</v>
      </c>
      <c r="C12" s="8">
        <v>0.65</v>
      </c>
      <c r="D12" s="38">
        <v>45714</v>
      </c>
      <c r="E12" s="38">
        <v>45715</v>
      </c>
      <c r="F12" s="7"/>
      <c r="G12" s="7"/>
      <c r="H12" s="15"/>
      <c r="I12" s="15"/>
      <c r="J12" s="15"/>
      <c r="K12" s="15"/>
      <c r="L12" s="15"/>
      <c r="M12" s="15"/>
      <c r="N12" s="15"/>
      <c r="O12" s="15"/>
      <c r="P12" s="15"/>
      <c r="Q12" s="15"/>
      <c r="R12" s="15"/>
      <c r="S12" s="15"/>
      <c r="T12" s="15"/>
      <c r="U12" s="15"/>
      <c r="V12" s="15"/>
      <c r="W12" s="15"/>
      <c r="X12" s="16"/>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row>
    <row r="13" spans="1:63" s="1" customFormat="1" ht="25.05" customHeight="1" thickBot="1" x14ac:dyDescent="0.35">
      <c r="A13" s="18"/>
      <c r="B13" s="22" t="s">
        <v>42</v>
      </c>
      <c r="C13" s="8">
        <v>0.6</v>
      </c>
      <c r="D13" s="38">
        <v>45716</v>
      </c>
      <c r="E13" s="38">
        <v>45716</v>
      </c>
      <c r="F13" s="7"/>
      <c r="G13" s="7">
        <f t="shared" si="6"/>
        <v>1</v>
      </c>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row>
    <row r="14" spans="1:63" s="1" customFormat="1" ht="19.95" customHeight="1" thickBot="1" x14ac:dyDescent="0.35">
      <c r="A14" s="19" t="s">
        <v>8</v>
      </c>
      <c r="B14" s="48" t="s">
        <v>33</v>
      </c>
      <c r="C14" s="49">
        <f>AVERAGE(C15:C24)</f>
        <v>0</v>
      </c>
      <c r="D14" s="50">
        <v>45717</v>
      </c>
      <c r="E14" s="51">
        <v>45730</v>
      </c>
      <c r="F14" s="7"/>
      <c r="G14" s="7">
        <f t="shared" si="6"/>
        <v>14</v>
      </c>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row>
    <row r="15" spans="1:63" s="1" customFormat="1" ht="25.05" customHeight="1" thickBot="1" x14ac:dyDescent="0.35">
      <c r="A15" s="19"/>
      <c r="B15" s="23" t="s">
        <v>34</v>
      </c>
      <c r="C15" s="9">
        <v>0</v>
      </c>
      <c r="D15" s="39">
        <f>D13+1</f>
        <v>45717</v>
      </c>
      <c r="E15" s="39">
        <f>D15+4</f>
        <v>45721</v>
      </c>
      <c r="F15" s="7"/>
      <c r="G15" s="7">
        <f t="shared" si="6"/>
        <v>5</v>
      </c>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row>
    <row r="16" spans="1:63" s="1" customFormat="1" ht="25.05" customHeight="1" thickBot="1" x14ac:dyDescent="0.35">
      <c r="A16" s="18"/>
      <c r="B16" s="23" t="s">
        <v>35</v>
      </c>
      <c r="C16" s="9">
        <v>0</v>
      </c>
      <c r="D16" s="39">
        <f>D15+2</f>
        <v>45719</v>
      </c>
      <c r="E16" s="39">
        <v>45721</v>
      </c>
      <c r="F16" s="7"/>
      <c r="G16" s="7">
        <f t="shared" si="6"/>
        <v>3</v>
      </c>
      <c r="H16" s="15"/>
      <c r="I16" s="15"/>
      <c r="J16" s="15"/>
      <c r="K16" s="15"/>
      <c r="L16" s="15"/>
      <c r="M16" s="15"/>
      <c r="N16" s="15"/>
      <c r="O16" s="15"/>
      <c r="P16" s="15"/>
      <c r="Q16" s="15"/>
      <c r="R16" s="15"/>
      <c r="S16" s="15"/>
      <c r="T16" s="16"/>
      <c r="U16" s="16"/>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row>
    <row r="17" spans="1:63" s="1" customFormat="1" ht="25.05" customHeight="1" thickBot="1" x14ac:dyDescent="0.35">
      <c r="A17" s="18"/>
      <c r="B17" s="23" t="s">
        <v>36</v>
      </c>
      <c r="C17" s="9">
        <v>0</v>
      </c>
      <c r="D17" s="39">
        <v>45722</v>
      </c>
      <c r="E17" s="39">
        <v>45722</v>
      </c>
      <c r="F17" s="7"/>
      <c r="G17" s="7">
        <f t="shared" si="6"/>
        <v>1</v>
      </c>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row>
    <row r="18" spans="1:63" s="1" customFormat="1" ht="25.05" customHeight="1" thickBot="1" x14ac:dyDescent="0.35">
      <c r="A18" s="18"/>
      <c r="B18" s="23" t="s">
        <v>37</v>
      </c>
      <c r="C18" s="9">
        <v>0</v>
      </c>
      <c r="D18" s="39">
        <v>45722</v>
      </c>
      <c r="E18" s="39">
        <v>45723</v>
      </c>
      <c r="F18" s="7"/>
      <c r="G18" s="7">
        <f t="shared" si="6"/>
        <v>2</v>
      </c>
      <c r="H18" s="15"/>
      <c r="I18" s="15"/>
      <c r="J18" s="15"/>
      <c r="K18" s="15"/>
      <c r="L18" s="15"/>
      <c r="M18" s="15"/>
      <c r="N18" s="15"/>
      <c r="O18" s="15"/>
      <c r="P18" s="15"/>
      <c r="Q18" s="15"/>
      <c r="R18" s="15"/>
      <c r="S18" s="15"/>
      <c r="T18" s="15"/>
      <c r="U18" s="15"/>
      <c r="V18" s="15"/>
      <c r="W18" s="15"/>
      <c r="X18" s="16"/>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row>
    <row r="19" spans="1:63" s="1" customFormat="1" ht="25.05" customHeight="1" thickBot="1" x14ac:dyDescent="0.35">
      <c r="A19" s="18"/>
      <c r="B19" s="23" t="s">
        <v>38</v>
      </c>
      <c r="C19" s="9">
        <v>0</v>
      </c>
      <c r="D19" s="39">
        <v>45723</v>
      </c>
      <c r="E19" s="39">
        <v>45724</v>
      </c>
      <c r="F19" s="7"/>
      <c r="G19" s="7"/>
      <c r="H19" s="15"/>
      <c r="I19" s="15"/>
      <c r="J19" s="15"/>
      <c r="K19" s="15"/>
      <c r="L19" s="15"/>
      <c r="M19" s="15"/>
      <c r="N19" s="15"/>
      <c r="O19" s="15"/>
      <c r="P19" s="15"/>
      <c r="Q19" s="15"/>
      <c r="R19" s="15"/>
      <c r="S19" s="15"/>
      <c r="T19" s="15"/>
      <c r="U19" s="15"/>
      <c r="V19" s="15"/>
      <c r="W19" s="15"/>
      <c r="X19" s="16"/>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row>
    <row r="20" spans="1:63" s="1" customFormat="1" ht="25.05" customHeight="1" thickBot="1" x14ac:dyDescent="0.35">
      <c r="A20" s="18"/>
      <c r="B20" s="23" t="s">
        <v>39</v>
      </c>
      <c r="C20" s="9">
        <v>0</v>
      </c>
      <c r="D20" s="39">
        <v>45724</v>
      </c>
      <c r="E20" s="39">
        <v>45726</v>
      </c>
      <c r="F20" s="7"/>
      <c r="G20" s="7"/>
      <c r="H20" s="15"/>
      <c r="I20" s="15"/>
      <c r="J20" s="15"/>
      <c r="K20" s="15"/>
      <c r="L20" s="15"/>
      <c r="M20" s="15"/>
      <c r="N20" s="15"/>
      <c r="O20" s="15"/>
      <c r="P20" s="15"/>
      <c r="Q20" s="15"/>
      <c r="R20" s="15"/>
      <c r="S20" s="15"/>
      <c r="T20" s="15"/>
      <c r="U20" s="15"/>
      <c r="V20" s="15"/>
      <c r="W20" s="15"/>
      <c r="X20" s="16"/>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row>
    <row r="21" spans="1:63" s="1" customFormat="1" ht="25.05" customHeight="1" thickBot="1" x14ac:dyDescent="0.35">
      <c r="A21" s="18"/>
      <c r="B21" s="23" t="s">
        <v>40</v>
      </c>
      <c r="C21" s="9">
        <v>0</v>
      </c>
      <c r="D21" s="39">
        <v>45726</v>
      </c>
      <c r="E21" s="39">
        <v>45727</v>
      </c>
      <c r="F21" s="7"/>
      <c r="G21" s="7"/>
      <c r="H21" s="15"/>
      <c r="I21" s="15"/>
      <c r="J21" s="15"/>
      <c r="K21" s="15"/>
      <c r="L21" s="15"/>
      <c r="M21" s="15"/>
      <c r="N21" s="15"/>
      <c r="O21" s="15"/>
      <c r="P21" s="15"/>
      <c r="Q21" s="15"/>
      <c r="R21" s="15"/>
      <c r="S21" s="15"/>
      <c r="T21" s="15"/>
      <c r="U21" s="15"/>
      <c r="V21" s="15"/>
      <c r="W21" s="15"/>
      <c r="X21" s="16"/>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row>
    <row r="22" spans="1:63" s="1" customFormat="1" ht="25.05" customHeight="1" thickBot="1" x14ac:dyDescent="0.35">
      <c r="A22" s="18"/>
      <c r="B22" s="23" t="s">
        <v>43</v>
      </c>
      <c r="C22" s="9">
        <v>0</v>
      </c>
      <c r="D22" s="39">
        <v>45727</v>
      </c>
      <c r="E22" s="39">
        <v>45728</v>
      </c>
      <c r="F22" s="7"/>
      <c r="G22" s="7"/>
      <c r="H22" s="15"/>
      <c r="I22" s="15"/>
      <c r="J22" s="15"/>
      <c r="K22" s="15"/>
      <c r="L22" s="15"/>
      <c r="M22" s="15"/>
      <c r="N22" s="15"/>
      <c r="O22" s="15"/>
      <c r="P22" s="15"/>
      <c r="Q22" s="15"/>
      <c r="R22" s="15"/>
      <c r="S22" s="15"/>
      <c r="T22" s="15"/>
      <c r="U22" s="15"/>
      <c r="V22" s="15"/>
      <c r="W22" s="15"/>
      <c r="X22" s="16"/>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row>
    <row r="23" spans="1:63" s="1" customFormat="1" ht="25.05" customHeight="1" thickBot="1" x14ac:dyDescent="0.35">
      <c r="A23" s="18"/>
      <c r="B23" s="54" t="s">
        <v>44</v>
      </c>
      <c r="C23" s="9">
        <v>0</v>
      </c>
      <c r="D23" s="39">
        <v>45729</v>
      </c>
      <c r="E23" s="39">
        <v>45730</v>
      </c>
      <c r="F23" s="7"/>
      <c r="G23" s="7"/>
      <c r="H23" s="15"/>
      <c r="I23" s="15"/>
      <c r="J23" s="15"/>
      <c r="K23" s="15"/>
      <c r="L23" s="15"/>
      <c r="M23" s="15"/>
      <c r="N23" s="15"/>
      <c r="O23" s="15"/>
      <c r="P23" s="15"/>
      <c r="Q23" s="15"/>
      <c r="R23" s="15"/>
      <c r="S23" s="15"/>
      <c r="T23" s="15"/>
      <c r="U23" s="15"/>
      <c r="V23" s="15"/>
      <c r="W23" s="15"/>
      <c r="X23" s="16"/>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row>
    <row r="24" spans="1:63" s="1" customFormat="1" ht="25.05" customHeight="1" thickBot="1" x14ac:dyDescent="0.35">
      <c r="A24" s="18"/>
      <c r="B24" s="54" t="s">
        <v>47</v>
      </c>
      <c r="C24" s="9">
        <v>0</v>
      </c>
      <c r="D24" s="39">
        <v>45731</v>
      </c>
      <c r="E24" s="39">
        <v>45731</v>
      </c>
      <c r="F24" s="7"/>
      <c r="G24" s="7">
        <f t="shared" si="6"/>
        <v>1</v>
      </c>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row>
    <row r="25" spans="1:63" s="1" customFormat="1" ht="19.95" customHeight="1" thickBot="1" x14ac:dyDescent="0.35">
      <c r="A25" s="18" t="s">
        <v>9</v>
      </c>
      <c r="B25" s="48" t="s">
        <v>45</v>
      </c>
      <c r="C25" s="49">
        <f>AVERAGE(C26:C30)</f>
        <v>0</v>
      </c>
      <c r="D25" s="50">
        <v>45748</v>
      </c>
      <c r="E25" s="51">
        <v>45842</v>
      </c>
      <c r="F25" s="7"/>
      <c r="G25" s="7">
        <f t="shared" si="6"/>
        <v>95</v>
      </c>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row>
    <row r="26" spans="1:63" s="1" customFormat="1" ht="25.05" customHeight="1" thickBot="1" x14ac:dyDescent="0.35">
      <c r="A26" s="18"/>
      <c r="B26" s="24" t="s">
        <v>46</v>
      </c>
      <c r="C26" s="10">
        <v>0</v>
      </c>
      <c r="D26" s="40">
        <f>D8+15</f>
        <v>45721</v>
      </c>
      <c r="E26" s="40">
        <f>D26+5</f>
        <v>45726</v>
      </c>
      <c r="F26" s="7"/>
      <c r="G26" s="7">
        <f t="shared" si="6"/>
        <v>6</v>
      </c>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row>
    <row r="27" spans="1:63" s="1" customFormat="1" ht="25.05" customHeight="1" thickBot="1" x14ac:dyDescent="0.35">
      <c r="A27" s="18"/>
      <c r="B27" s="24" t="s">
        <v>14</v>
      </c>
      <c r="C27" s="10">
        <v>0</v>
      </c>
      <c r="D27" s="40">
        <f>E26+1</f>
        <v>45727</v>
      </c>
      <c r="E27" s="40">
        <f>D27+4</f>
        <v>45731</v>
      </c>
      <c r="F27" s="7"/>
      <c r="G27" s="7">
        <f t="shared" si="6"/>
        <v>5</v>
      </c>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row>
    <row r="28" spans="1:63" s="1" customFormat="1" ht="25.05" customHeight="1" thickBot="1" x14ac:dyDescent="0.35">
      <c r="A28" s="18"/>
      <c r="B28" s="24" t="s">
        <v>15</v>
      </c>
      <c r="C28" s="10">
        <v>0</v>
      </c>
      <c r="D28" s="40">
        <f>D27+5</f>
        <v>45732</v>
      </c>
      <c r="E28" s="40">
        <f>D28+5</f>
        <v>45737</v>
      </c>
      <c r="F28" s="7"/>
      <c r="G28" s="7">
        <f t="shared" si="6"/>
        <v>6</v>
      </c>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row>
    <row r="29" spans="1:63" s="1" customFormat="1" ht="25.05" customHeight="1" thickBot="1" x14ac:dyDescent="0.35">
      <c r="A29" s="18"/>
      <c r="B29" s="24" t="s">
        <v>16</v>
      </c>
      <c r="C29" s="10">
        <v>0</v>
      </c>
      <c r="D29" s="40">
        <f>E28+1</f>
        <v>45738</v>
      </c>
      <c r="E29" s="40">
        <f>D29+4</f>
        <v>45742</v>
      </c>
      <c r="F29" s="7"/>
      <c r="G29" s="7">
        <f t="shared" si="6"/>
        <v>5</v>
      </c>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row>
    <row r="30" spans="1:63" s="1" customFormat="1" ht="25.05" customHeight="1" thickBot="1" x14ac:dyDescent="0.35">
      <c r="A30" s="18"/>
      <c r="B30" s="24" t="s">
        <v>17</v>
      </c>
      <c r="C30" s="10">
        <v>0</v>
      </c>
      <c r="D30" s="40">
        <f>D28</f>
        <v>45732</v>
      </c>
      <c r="E30" s="40">
        <f>D30+4</f>
        <v>45736</v>
      </c>
      <c r="F30" s="7"/>
      <c r="G30" s="7">
        <f t="shared" si="6"/>
        <v>5</v>
      </c>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row>
    <row r="31" spans="1:63" s="1" customFormat="1" ht="19.95" customHeight="1" thickBot="1" x14ac:dyDescent="0.35">
      <c r="A31" s="18" t="s">
        <v>9</v>
      </c>
      <c r="B31" s="48" t="s">
        <v>18</v>
      </c>
      <c r="C31" s="49"/>
      <c r="D31" s="50"/>
      <c r="E31" s="51"/>
      <c r="F31" s="7"/>
      <c r="G31" s="7" t="str">
        <f t="shared" si="6"/>
        <v/>
      </c>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row>
    <row r="32" spans="1:63" s="1" customFormat="1" ht="25.05" customHeight="1" thickBot="1" x14ac:dyDescent="0.35">
      <c r="A32" s="18"/>
      <c r="B32" s="25" t="s">
        <v>13</v>
      </c>
      <c r="C32" s="11"/>
      <c r="D32" s="41" t="s">
        <v>22</v>
      </c>
      <c r="E32" s="41" t="s">
        <v>22</v>
      </c>
      <c r="F32" s="7"/>
      <c r="G32" s="7" t="e">
        <f t="shared" si="6"/>
        <v>#VALUE!</v>
      </c>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row>
    <row r="33" spans="1:63" s="1" customFormat="1" ht="25.05" customHeight="1" thickBot="1" x14ac:dyDescent="0.35">
      <c r="A33" s="18"/>
      <c r="B33" s="25" t="s">
        <v>14</v>
      </c>
      <c r="C33" s="11"/>
      <c r="D33" s="41" t="s">
        <v>22</v>
      </c>
      <c r="E33" s="41" t="s">
        <v>22</v>
      </c>
      <c r="F33" s="7"/>
      <c r="G33" s="7" t="e">
        <f t="shared" si="6"/>
        <v>#VALUE!</v>
      </c>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row>
    <row r="34" spans="1:63" s="1" customFormat="1" ht="25.05" customHeight="1" thickBot="1" x14ac:dyDescent="0.35">
      <c r="A34" s="18"/>
      <c r="B34" s="25" t="s">
        <v>15</v>
      </c>
      <c r="C34" s="11"/>
      <c r="D34" s="41" t="s">
        <v>22</v>
      </c>
      <c r="E34" s="41" t="s">
        <v>22</v>
      </c>
      <c r="F34" s="7"/>
      <c r="G34" s="7" t="e">
        <f t="shared" si="6"/>
        <v>#VALUE!</v>
      </c>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row>
    <row r="35" spans="1:63" s="1" customFormat="1" ht="25.05" customHeight="1" thickBot="1" x14ac:dyDescent="0.35">
      <c r="A35" s="18"/>
      <c r="B35" s="25" t="s">
        <v>16</v>
      </c>
      <c r="C35" s="11"/>
      <c r="D35" s="41" t="s">
        <v>22</v>
      </c>
      <c r="E35" s="41" t="s">
        <v>22</v>
      </c>
      <c r="F35" s="7"/>
      <c r="G35" s="7" t="e">
        <f t="shared" si="6"/>
        <v>#VALUE!</v>
      </c>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row>
    <row r="36" spans="1:63" s="1" customFormat="1" ht="25.05" customHeight="1" thickBot="1" x14ac:dyDescent="0.35">
      <c r="A36" s="18"/>
      <c r="B36" s="25" t="s">
        <v>17</v>
      </c>
      <c r="C36" s="11"/>
      <c r="D36" s="41" t="s">
        <v>22</v>
      </c>
      <c r="E36" s="41" t="s">
        <v>22</v>
      </c>
      <c r="F36" s="7"/>
      <c r="G36" s="7" t="e">
        <f t="shared" si="6"/>
        <v>#VALUE!</v>
      </c>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row>
    <row r="37" spans="1:63" s="1" customFormat="1" ht="30" customHeight="1" thickBot="1" x14ac:dyDescent="0.35">
      <c r="A37" s="18" t="s">
        <v>10</v>
      </c>
      <c r="B37" s="26"/>
      <c r="C37" s="6"/>
      <c r="D37" s="34"/>
      <c r="E37" s="34"/>
      <c r="F37" s="7"/>
      <c r="G37" s="7" t="str">
        <f t="shared" si="6"/>
        <v/>
      </c>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row>
    <row r="38" spans="1:63" s="1" customFormat="1" ht="30" customHeight="1" thickBot="1" x14ac:dyDescent="0.35">
      <c r="A38" s="19" t="s">
        <v>11</v>
      </c>
      <c r="B38" s="12" t="s">
        <v>19</v>
      </c>
      <c r="C38" s="13"/>
      <c r="D38" s="29"/>
      <c r="E38" s="30"/>
      <c r="F38" s="14"/>
      <c r="G38" s="14" t="str">
        <f t="shared" si="6"/>
        <v/>
      </c>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row>
    <row r="39" spans="1:63" ht="30" customHeight="1" x14ac:dyDescent="0.3">
      <c r="F39" s="3"/>
    </row>
    <row r="40" spans="1:63" ht="30" customHeight="1" x14ac:dyDescent="0.3">
      <c r="E40" s="20"/>
    </row>
  </sheetData>
  <mergeCells count="10">
    <mergeCell ref="B2:B3"/>
    <mergeCell ref="AJ3:AP3"/>
    <mergeCell ref="AQ3:AW3"/>
    <mergeCell ref="AX3:BD3"/>
    <mergeCell ref="BE3:BK3"/>
    <mergeCell ref="D2:E2"/>
    <mergeCell ref="H3:N3"/>
    <mergeCell ref="O3:U3"/>
    <mergeCell ref="V3:AB3"/>
    <mergeCell ref="AC3:AI3"/>
  </mergeCells>
  <conditionalFormatting sqref="C6:C3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4:BK38">
    <cfRule type="expression" dxfId="2" priority="33">
      <formula>AND(TODAY()&gt;=H$4,TODAY()&lt;I$4)</formula>
    </cfRule>
  </conditionalFormatting>
  <conditionalFormatting sqref="H6:BK38">
    <cfRule type="expression" dxfId="1" priority="27">
      <formula>AND(task_start&lt;=H$4,ROUNDDOWN((task_end-task_start+1)*task_progress,0)+task_start-1&gt;=H$4)</formula>
    </cfRule>
    <cfRule type="expression" dxfId="0" priority="28" stopIfTrue="1">
      <formula>AND(task_end&gt;=H$4,task_start&lt;I$4)</formula>
    </cfRule>
  </conditionalFormatting>
  <dataValidations count="1">
    <dataValidation type="whole" operator="greaterThanOrEqual" allowBlank="1" showInputMessage="1" promptTitle="Mostrar semana" prompt="Al cambiar este número, se desplazará la vista del diagrama de Gantt." sqref="D3"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ignoredErrors>
    <ignoredError sqref="E27:E28 D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C6:C38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Planificación</vt:lpstr>
      <vt:lpstr>Inicio_del_proyecto</vt:lpstr>
      <vt:lpstr>Semana_para_mostrar</vt:lpstr>
      <vt:lpstr>Planificación!task_end</vt:lpstr>
      <vt:lpstr>Planificación!task_progress</vt:lpstr>
      <vt:lpstr>Planificación!task_start</vt:lpstr>
      <vt:lpstr>Planificación!Títulos_a_imprimir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2025-02-27T22:03:11Z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